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<sst xmlns="http://schemas.openxmlformats.org/spreadsheetml/2006/main" count="29" uniqueCount="18">
  <si>
    <t>CHINA</t>
  </si>
  <si>
    <t>EUROPE</t>
  </si>
  <si>
    <t>REST OF WORLD</t>
  </si>
  <si>
    <t>ALL</t>
  </si>
  <si>
    <t>TAIWAN</t>
  </si>
  <si>
    <t>江苏</t>
  </si>
  <si>
    <t>浙江</t>
  </si>
  <si>
    <t>福建</t>
  </si>
  <si>
    <t>河北</t>
  </si>
  <si>
    <t>上海</t>
  </si>
  <si>
    <t>辽宁</t>
  </si>
  <si>
    <t>广东</t>
  </si>
  <si>
    <t>广西</t>
  </si>
  <si>
    <t>天津</t>
  </si>
  <si>
    <t>山东</t>
  </si>
  <si>
    <t>海南</t>
  </si>
  <si>
    <t>total</t>
  </si>
  <si>
    <t>MW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</si>
</sst>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workbookViewId="0">
      <selection activeCell="I26" sqref="I26"/>
    </sheetView>
  </sheetViews>
  <sheetFormatPr defaultColWidth="9" defaultRowHeight="14" outlineLevelCol="5"/>
  <cols>
    <col min="4" max="4" width="13.5454545454545" customWidth="1"/>
    <col min="5" max="5" width="14.6363636363636" customWidth="1"/>
  </cols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2006</v>
      </c>
      <c r="B2">
        <v>0</v>
      </c>
      <c r="C2">
        <v>90</v>
      </c>
      <c r="D2">
        <v>0</v>
      </c>
      <c r="E2">
        <f>B2+C2+D2</f>
        <v>90</v>
      </c>
    </row>
    <row r="3" spans="1:6">
      <c r="A3">
        <v>2007</v>
      </c>
      <c r="B3">
        <v>0</v>
      </c>
      <c r="C3">
        <v>208</v>
      </c>
      <c r="D3">
        <v>0</v>
      </c>
      <c r="E3">
        <f t="shared" ref="E3:E20" si="0">B3+C3+D3</f>
        <v>208</v>
      </c>
    </row>
    <row r="4" spans="1:6">
      <c r="A4">
        <v>2008</v>
      </c>
      <c r="B4">
        <v>0</v>
      </c>
      <c r="C4">
        <v>459</v>
      </c>
      <c r="D4">
        <v>0</v>
      </c>
      <c r="E4">
        <f t="shared" si="0"/>
        <v>459</v>
      </c>
    </row>
    <row r="5" spans="1:6">
      <c r="A5">
        <v>2009</v>
      </c>
      <c r="B5">
        <v>6</v>
      </c>
      <c r="C5">
        <v>616</v>
      </c>
      <c r="D5">
        <v>0</v>
      </c>
      <c r="E5">
        <f t="shared" si="0"/>
        <v>622</v>
      </c>
    </row>
    <row r="6" spans="1:6">
      <c r="A6">
        <v>2010</v>
      </c>
      <c r="B6">
        <v>90</v>
      </c>
      <c r="C6">
        <v>941</v>
      </c>
      <c r="D6">
        <v>0</v>
      </c>
      <c r="E6">
        <f t="shared" si="0"/>
        <v>1031</v>
      </c>
    </row>
    <row r="7" spans="1:6">
      <c r="A7">
        <v>2011</v>
      </c>
      <c r="B7">
        <v>159</v>
      </c>
      <c r="C7">
        <v>816</v>
      </c>
      <c r="D7">
        <v>27</v>
      </c>
      <c r="E7">
        <f t="shared" si="0"/>
        <v>1002</v>
      </c>
    </row>
    <row r="8" spans="1:6">
      <c r="A8">
        <v>2012</v>
      </c>
      <c r="B8">
        <v>131</v>
      </c>
      <c r="C8">
        <v>1172</v>
      </c>
      <c r="D8">
        <v>3</v>
      </c>
      <c r="E8">
        <f t="shared" si="0"/>
        <v>1306</v>
      </c>
    </row>
    <row r="9" spans="1:6">
      <c r="A9">
        <v>2013</v>
      </c>
      <c r="B9">
        <v>39</v>
      </c>
      <c r="C9">
        <v>1611</v>
      </c>
      <c r="D9">
        <v>24</v>
      </c>
      <c r="E9">
        <f t="shared" si="0"/>
        <v>1674</v>
      </c>
    </row>
    <row r="10" spans="1:6">
      <c r="A10">
        <v>2014</v>
      </c>
      <c r="B10">
        <v>229</v>
      </c>
      <c r="C10">
        <v>1455</v>
      </c>
      <c r="D10">
        <v>0</v>
      </c>
      <c r="E10">
        <f t="shared" si="0"/>
        <v>1684</v>
      </c>
    </row>
    <row r="11" spans="1:6">
      <c r="A11">
        <v>2015</v>
      </c>
      <c r="B11">
        <v>361</v>
      </c>
      <c r="C11">
        <v>3018</v>
      </c>
      <c r="D11">
        <v>3</v>
      </c>
      <c r="E11">
        <f t="shared" si="0"/>
        <v>3382</v>
      </c>
    </row>
    <row r="12" spans="1:6">
      <c r="A12">
        <v>2016</v>
      </c>
      <c r="B12">
        <v>592</v>
      </c>
      <c r="C12">
        <v>1596</v>
      </c>
      <c r="D12">
        <v>67</v>
      </c>
      <c r="E12">
        <f t="shared" si="0"/>
        <v>2255</v>
      </c>
    </row>
    <row r="13" spans="1:6">
      <c r="A13">
        <v>2017</v>
      </c>
      <c r="B13">
        <v>1161</v>
      </c>
      <c r="C13">
        <v>3201</v>
      </c>
      <c r="D13">
        <v>115</v>
      </c>
      <c r="E13">
        <f t="shared" si="0"/>
        <v>4477</v>
      </c>
    </row>
    <row r="14" spans="1:6">
      <c r="A14">
        <v>2018</v>
      </c>
      <c r="B14">
        <v>1655</v>
      </c>
      <c r="C14">
        <v>2658</v>
      </c>
      <c r="D14">
        <v>35</v>
      </c>
      <c r="E14">
        <f t="shared" si="0"/>
        <v>4348</v>
      </c>
    </row>
    <row r="15" spans="1:6">
      <c r="A15">
        <v>2019</v>
      </c>
      <c r="B15">
        <v>2493</v>
      </c>
      <c r="C15">
        <v>3627</v>
      </c>
      <c r="D15">
        <v>123</v>
      </c>
      <c r="E15">
        <f t="shared" si="0"/>
        <v>6243</v>
      </c>
    </row>
    <row r="16" spans="1:6">
      <c r="A16">
        <v>2020</v>
      </c>
      <c r="B16">
        <v>3845</v>
      </c>
      <c r="C16">
        <v>2936</v>
      </c>
      <c r="D16">
        <v>72</v>
      </c>
      <c r="E16">
        <f t="shared" si="0"/>
        <v>6853</v>
      </c>
    </row>
    <row r="17" spans="1:6">
      <c r="A17">
        <v>2021</v>
      </c>
      <c r="B17">
        <v>16900</v>
      </c>
      <c r="C17">
        <v>3317</v>
      </c>
      <c r="D17">
        <v>889</v>
      </c>
      <c r="E17">
        <f t="shared" si="0"/>
        <v>21106</v>
      </c>
    </row>
    <row r="18" spans="1:6">
      <c r="A18">
        <v>2022</v>
      </c>
      <c r="B18">
        <v>5052</v>
      </c>
      <c r="C18">
        <v>2460</v>
      </c>
      <c r="D18">
        <v>1259</v>
      </c>
      <c r="E18">
        <f t="shared" si="0"/>
        <v>8771</v>
      </c>
    </row>
    <row r="19" spans="1:6">
      <c r="A19">
        <v>2023</v>
      </c>
      <c r="B19">
        <v>6333</v>
      </c>
      <c r="C19">
        <v>3761</v>
      </c>
      <c r="D19">
        <v>758</v>
      </c>
      <c r="E19">
        <f t="shared" si="0"/>
        <v>10852</v>
      </c>
    </row>
    <row r="20" spans="1:6">
      <c r="A20">
        <v>2024</v>
      </c>
      <c r="B20">
        <v>4038</v>
      </c>
      <c r="C20">
        <v>2698</v>
      </c>
      <c r="D20">
        <v>1265</v>
      </c>
      <c r="E20">
        <f t="shared" si="0"/>
        <v>8001</v>
      </c>
    </row>
    <row r="21" spans="1:6">
      <c r="A21">
        <v>2025</v>
      </c>
      <c r="B21">
        <v>10000</v>
      </c>
      <c r="C21">
        <v>4170</v>
      </c>
      <c r="D21">
        <f>E21-C21-B21</f>
        <v>2125</v>
      </c>
      <c r="E21">
        <v>16295</v>
      </c>
      <c r="F21">
        <v>933</v>
      </c>
    </row>
    <row r="22" spans="1:6">
      <c r="A22">
        <v>2026</v>
      </c>
      <c r="B22">
        <v>10000</v>
      </c>
      <c r="C22">
        <v>8736</v>
      </c>
      <c r="D22">
        <f t="shared" ref="D22:D30" si="1">E22-C22-B22</f>
        <v>4705</v>
      </c>
      <c r="E22">
        <v>23441</v>
      </c>
      <c r="F22">
        <v>1220</v>
      </c>
    </row>
    <row r="23" spans="1:6">
      <c r="A23">
        <v>2027</v>
      </c>
      <c r="B23">
        <v>15000</v>
      </c>
      <c r="C23">
        <v>7610</v>
      </c>
      <c r="D23">
        <f t="shared" si="1"/>
        <v>2409</v>
      </c>
      <c r="E23">
        <v>25019</v>
      </c>
      <c r="F23">
        <v>1044</v>
      </c>
    </row>
    <row r="24" spans="1:6">
      <c r="A24">
        <v>2028</v>
      </c>
      <c r="B24">
        <v>15000</v>
      </c>
      <c r="C24">
        <v>5998</v>
      </c>
      <c r="D24">
        <f t="shared" si="1"/>
        <v>4792</v>
      </c>
      <c r="E24">
        <v>25790</v>
      </c>
      <c r="F24">
        <v>1100</v>
      </c>
    </row>
    <row r="25" spans="1:6">
      <c r="A25">
        <v>2029</v>
      </c>
      <c r="B25">
        <v>15000</v>
      </c>
      <c r="C25">
        <v>8965</v>
      </c>
      <c r="D25">
        <f t="shared" si="1"/>
        <v>4045</v>
      </c>
      <c r="E25">
        <v>28010</v>
      </c>
      <c r="F25">
        <v>1600</v>
      </c>
    </row>
    <row r="26" spans="1:6">
      <c r="A26">
        <v>2030</v>
      </c>
      <c r="B26">
        <v>20000</v>
      </c>
      <c r="C26">
        <v>11780</v>
      </c>
      <c r="D26">
        <f t="shared" si="1"/>
        <v>4900</v>
      </c>
      <c r="E26">
        <v>36680</v>
      </c>
      <c r="F26">
        <v>1500</v>
      </c>
    </row>
    <row r="27" spans="1:6">
      <c r="A27">
        <v>2031</v>
      </c>
      <c r="B27">
        <v>20000</v>
      </c>
      <c r="C27">
        <v>18424</v>
      </c>
      <c r="D27">
        <f t="shared" si="1"/>
        <v>7000</v>
      </c>
      <c r="E27">
        <v>45424</v>
      </c>
      <c r="F27">
        <v>1500</v>
      </c>
    </row>
    <row r="28" spans="1:6">
      <c r="A28">
        <v>2032</v>
      </c>
      <c r="B28">
        <v>20000</v>
      </c>
      <c r="C28">
        <v>18200</v>
      </c>
      <c r="D28">
        <f t="shared" si="1"/>
        <v>10200</v>
      </c>
      <c r="E28">
        <v>48400</v>
      </c>
      <c r="F28">
        <v>1500</v>
      </c>
    </row>
    <row r="29" spans="1:6">
      <c r="A29">
        <v>2033</v>
      </c>
      <c r="B29">
        <v>20000</v>
      </c>
      <c r="C29">
        <v>20450</v>
      </c>
      <c r="D29">
        <f t="shared" si="1"/>
        <v>13300</v>
      </c>
      <c r="E29">
        <v>53750</v>
      </c>
      <c r="F29">
        <v>1500</v>
      </c>
    </row>
    <row r="30" spans="1:6">
      <c r="A30">
        <v>2034</v>
      </c>
      <c r="B30">
        <v>20000</v>
      </c>
      <c r="C30">
        <v>21450</v>
      </c>
      <c r="D30">
        <f t="shared" si="1"/>
        <v>14000</v>
      </c>
      <c r="E30">
        <v>55450</v>
      </c>
      <c r="F30">
        <v>1500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workbookViewId="0">
      <selection activeCell="K20" sqref="K20"/>
    </sheetView>
  </sheetViews>
  <sheetFormatPr defaultColWidth="8.72727272727273" defaultRowHeight="14"/>
  <cols>
    <col min="6" max="6" width="11.7272727272727"/>
    <col min="7" max="12" width="12.8181818181818"/>
    <col min="13" max="13" width="9.54545454545454"/>
  </cols>
  <sheetData>
    <row r="1" spans="1:12"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t="s">
        <v>12</v>
      </c>
      <c r="J1" t="s">
        <v>13</v>
      </c>
      <c r="K1" t="s">
        <v>14</v>
      </c>
      <c r="L1" t="s">
        <v>15</v>
      </c>
    </row>
    <row r="2" spans="1:12">
      <c r="A2">
        <v>2018</v>
      </c>
      <c r="B2">
        <v>57.9</v>
      </c>
      <c r="C2">
        <v>9.4</v>
      </c>
      <c r="D2">
        <v>9.3</v>
      </c>
      <c r="E2">
        <v>7.5</v>
      </c>
      <c r="F2">
        <v>6</v>
      </c>
      <c r="G2">
        <v>5.6</v>
      </c>
      <c r="H2">
        <v>4.3</v>
      </c>
    </row>
    <row r="3" spans="1:12">
      <c r="A3" t="s">
        <v>16</v>
      </c>
      <c r="B3">
        <v>70.4</v>
      </c>
      <c r="C3">
        <v>4.5</v>
      </c>
      <c r="D3">
        <v>6.5</v>
      </c>
      <c r="E3">
        <v>3.6</v>
      </c>
      <c r="F3">
        <v>9.1</v>
      </c>
      <c r="G3">
        <f t="shared" ref="G3:L3" si="0">5.9*F15</f>
        <v>0.252566789915929</v>
      </c>
      <c r="H3">
        <f t="shared" si="0"/>
        <v>3.90951695551439</v>
      </c>
      <c r="I3">
        <f t="shared" si="0"/>
        <v>0.174961600157279</v>
      </c>
      <c r="J3">
        <f t="shared" si="0"/>
        <v>0.0217729991306836</v>
      </c>
      <c r="K3">
        <f t="shared" si="0"/>
        <v>0.963273769873326</v>
      </c>
      <c r="L3">
        <f t="shared" si="0"/>
        <v>0.577907885408389</v>
      </c>
    </row>
    <row r="13" spans="1:12">
      <c r="F13" s="2">
        <v>25315.35</v>
      </c>
      <c r="G13" s="2">
        <v>97277.77</v>
      </c>
      <c r="H13" s="2">
        <v>20352.51</v>
      </c>
      <c r="I13" s="2">
        <v>18809.64</v>
      </c>
      <c r="J13" s="2">
        <v>76469.67</v>
      </c>
      <c r="K13" s="2">
        <v>4832.05</v>
      </c>
      <c r="L13">
        <f>100-SUM(B3:F3)</f>
        <v>5.90000000000001</v>
      </c>
    </row>
    <row r="14" spans="1:12">
      <c r="F14">
        <v>3897.6</v>
      </c>
      <c r="G14">
        <v>60331.5</v>
      </c>
      <c r="H14">
        <v>2700</v>
      </c>
      <c r="I14">
        <v>336</v>
      </c>
      <c r="J14">
        <v>14865.2</v>
      </c>
      <c r="K14">
        <v>8918.25</v>
      </c>
      <c r="L14">
        <f>SUM(F14:K14)</f>
        <v>91048.55</v>
      </c>
    </row>
    <row r="15" spans="1:12">
      <c r="F15">
        <f t="shared" ref="F15:K15" si="1">F14/91048.55</f>
        <v>0.0428079304942253</v>
      </c>
      <c r="G15">
        <f t="shared" si="1"/>
        <v>0.662629992460067</v>
      </c>
      <c r="H15">
        <f t="shared" si="1"/>
        <v>0.0296545085012337</v>
      </c>
      <c r="I15">
        <f t="shared" si="1"/>
        <v>0.00369033883570908</v>
      </c>
      <c r="J15">
        <f t="shared" si="1"/>
        <v>0.163266740656496</v>
      </c>
      <c r="K15">
        <f t="shared" si="1"/>
        <v>0.0979504890522694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" sqref="A1:B12"/>
    </sheetView>
  </sheetViews>
  <sheetFormatPr defaultColWidth="8.72727272727273" defaultRowHeight="14" outlineLevelCol="2"/>
  <cols>
    <col min="2" max="2" width="9.54545454545454"/>
    <col min="3" max="3" width="12.8181818181818"/>
  </cols>
  <sheetData>
    <row r="1" spans="1:3">
      <c r="B1" t="s">
        <v>17</v>
      </c>
    </row>
    <row r="2" spans="1:3">
      <c r="A2" t="s">
        <v>11</v>
      </c>
      <c r="B2">
        <v>60331.5</v>
      </c>
      <c r="C2">
        <f>B2/146101.1</f>
        <v>0.412943502820992</v>
      </c>
    </row>
    <row r="3" spans="1:3">
      <c r="A3" t="s">
        <v>5</v>
      </c>
      <c r="B3">
        <v>14514.75</v>
      </c>
      <c r="C3">
        <f t="shared" ref="C3:C13" si="0">B3/146101.1</f>
        <v>0.0993473012865748</v>
      </c>
    </row>
    <row r="4" spans="1:3">
      <c r="A4" t="s">
        <v>6</v>
      </c>
      <c r="B4">
        <v>14730</v>
      </c>
      <c r="C4">
        <f t="shared" si="0"/>
        <v>0.100820596148831</v>
      </c>
    </row>
    <row r="5" spans="1:3">
      <c r="A5" t="s">
        <v>7</v>
      </c>
      <c r="B5">
        <v>14928.9</v>
      </c>
      <c r="C5">
        <f t="shared" si="0"/>
        <v>0.102181982202735</v>
      </c>
    </row>
    <row r="6" spans="1:3">
      <c r="A6" t="s">
        <v>14</v>
      </c>
      <c r="B6">
        <v>14865.2</v>
      </c>
      <c r="C6">
        <f t="shared" si="0"/>
        <v>0.101745982747563</v>
      </c>
    </row>
    <row r="7" spans="1:3">
      <c r="A7" t="s">
        <v>9</v>
      </c>
      <c r="B7">
        <v>7774.9</v>
      </c>
      <c r="C7">
        <f t="shared" si="0"/>
        <v>0.0532158895449795</v>
      </c>
    </row>
    <row r="8" spans="1:3">
      <c r="A8" t="s">
        <v>15</v>
      </c>
      <c r="B8">
        <v>8918.25</v>
      </c>
      <c r="C8">
        <f t="shared" si="0"/>
        <v>0.06104163486791</v>
      </c>
    </row>
    <row r="9" spans="1:3">
      <c r="A9" t="s">
        <v>10</v>
      </c>
      <c r="B9">
        <v>3897.6</v>
      </c>
      <c r="C9">
        <f t="shared" si="0"/>
        <v>0.026677417213149</v>
      </c>
    </row>
    <row r="10" spans="1:3">
      <c r="A10" t="s">
        <v>12</v>
      </c>
      <c r="B10">
        <v>2700</v>
      </c>
      <c r="C10">
        <f t="shared" si="0"/>
        <v>0.0184803536729018</v>
      </c>
    </row>
    <row r="11" spans="1:3">
      <c r="A11" t="s">
        <v>8</v>
      </c>
      <c r="B11">
        <v>3104</v>
      </c>
      <c r="C11">
        <f t="shared" si="0"/>
        <v>0.0212455621484027</v>
      </c>
    </row>
    <row r="12" spans="1:3">
      <c r="A12" t="s">
        <v>13</v>
      </c>
      <c r="B12">
        <v>336</v>
      </c>
      <c r="C12">
        <f t="shared" si="0"/>
        <v>0.00229977734596112</v>
      </c>
    </row>
    <row r="13" spans="1:3">
      <c r="B13">
        <f>SUM(B2:B12)</f>
        <v>146101.1</v>
      </c>
      <c r="C13">
        <f t="shared" si="0"/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Cheng</dc:creator>
  <cp:lastModifiedBy>程溢</cp:lastModifiedBy>
  <dcterms:created xsi:type="dcterms:W3CDTF">2023-05-12T11:15:00Z</dcterms:created>
  <dcterms:modified xsi:type="dcterms:W3CDTF">2026-01-21T01:13:01Z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05A393899C984C9D90CB830CDAD5DE11_12</vt:lpwstr>
  </property>
</Properties>
</file>